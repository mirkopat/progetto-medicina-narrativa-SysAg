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tia Mirko\Desktop\UNIBA\3° anno\2° semestre\Sistemi ad Agenti\Materiale per progetto\"/>
    </mc:Choice>
  </mc:AlternateContent>
  <xr:revisionPtr revIDLastSave="0" documentId="8_{C1FD5E37-6BE6-48DB-BA8B-43DAA56A8B08}" xr6:coauthVersionLast="47" xr6:coauthVersionMax="47" xr10:uidLastSave="{00000000-0000-0000-0000-000000000000}"/>
  <bookViews>
    <workbookView xWindow="14400" yWindow="0" windowWidth="14400" windowHeight="15750" firstSheet="1" activeTab="3" xr2:uid="{00000000-000D-0000-FFFF-FFFF00000000}"/>
  </bookViews>
  <sheets>
    <sheet name="Dati grezzi Chatbot" sheetId="1" r:id="rId1"/>
    <sheet name="Medie Chatbot" sheetId="2" r:id="rId2"/>
    <sheet name="WHOQOL simulato" sheetId="3" r:id="rId3"/>
    <sheet name="Confront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2" i="4"/>
  <c r="B5" i="2"/>
  <c r="C14" i="4" s="1"/>
  <c r="B2" i="2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F9" i="2"/>
  <c r="E9" i="2"/>
  <c r="C33" i="4" s="1"/>
  <c r="D9" i="2"/>
  <c r="C32" i="4" s="1"/>
  <c r="C9" i="2"/>
  <c r="C31" i="4" s="1"/>
  <c r="B9" i="2"/>
  <c r="C30" i="4" s="1"/>
  <c r="E30" i="4" s="1"/>
  <c r="F8" i="2"/>
  <c r="E8" i="2"/>
  <c r="C29" i="4" s="1"/>
  <c r="D8" i="2"/>
  <c r="C28" i="4" s="1"/>
  <c r="C8" i="2"/>
  <c r="C27" i="4" s="1"/>
  <c r="B8" i="2"/>
  <c r="C26" i="4" s="1"/>
  <c r="F7" i="2"/>
  <c r="E7" i="2"/>
  <c r="C25" i="4" s="1"/>
  <c r="D7" i="2"/>
  <c r="C24" i="4" s="1"/>
  <c r="E24" i="4" s="1"/>
  <c r="C7" i="2"/>
  <c r="C23" i="4" s="1"/>
  <c r="B7" i="2"/>
  <c r="C22" i="4" s="1"/>
  <c r="F6" i="2"/>
  <c r="E6" i="2"/>
  <c r="C21" i="4" s="1"/>
  <c r="E21" i="4" s="1"/>
  <c r="D6" i="2"/>
  <c r="C20" i="4" s="1"/>
  <c r="E20" i="4" s="1"/>
  <c r="C6" i="2"/>
  <c r="C19" i="4" s="1"/>
  <c r="E19" i="4" s="1"/>
  <c r="B6" i="2"/>
  <c r="C18" i="4" s="1"/>
  <c r="E18" i="4" s="1"/>
  <c r="F5" i="2"/>
  <c r="E5" i="2"/>
  <c r="C17" i="4" s="1"/>
  <c r="E17" i="4" s="1"/>
  <c r="D5" i="2"/>
  <c r="C16" i="4" s="1"/>
  <c r="C5" i="2"/>
  <c r="C15" i="4" s="1"/>
  <c r="E15" i="4" s="1"/>
  <c r="F4" i="2"/>
  <c r="E4" i="2"/>
  <c r="C13" i="4" s="1"/>
  <c r="D4" i="2"/>
  <c r="C12" i="4" s="1"/>
  <c r="E12" i="4" s="1"/>
  <c r="C4" i="2"/>
  <c r="C11" i="4" s="1"/>
  <c r="E11" i="4" s="1"/>
  <c r="B4" i="2"/>
  <c r="C10" i="4" s="1"/>
  <c r="F3" i="2"/>
  <c r="E3" i="2"/>
  <c r="C9" i="4" s="1"/>
  <c r="E9" i="4" s="1"/>
  <c r="D3" i="2"/>
  <c r="C8" i="4" s="1"/>
  <c r="C3" i="2"/>
  <c r="C7" i="4" s="1"/>
  <c r="B3" i="2"/>
  <c r="C6" i="4" s="1"/>
  <c r="E6" i="4" s="1"/>
  <c r="F2" i="2"/>
  <c r="E2" i="2"/>
  <c r="C5" i="4" s="1"/>
  <c r="D2" i="2"/>
  <c r="C4" i="4" s="1"/>
  <c r="C2" i="2"/>
  <c r="C3" i="4" s="1"/>
  <c r="C2" i="4"/>
  <c r="E26" i="4" l="1"/>
  <c r="E2" i="4"/>
  <c r="E7" i="4"/>
  <c r="E27" i="4"/>
  <c r="E32" i="4"/>
  <c r="E3" i="4"/>
  <c r="E8" i="4"/>
  <c r="E22" i="4"/>
  <c r="E13" i="4"/>
  <c r="E28" i="4"/>
  <c r="E4" i="4"/>
  <c r="E25" i="4"/>
  <c r="E10" i="4"/>
  <c r="E16" i="4"/>
  <c r="E33" i="4"/>
  <c r="E29" i="4"/>
  <c r="E5" i="4"/>
  <c r="E23" i="4"/>
  <c r="E31" i="4"/>
  <c r="E14" i="4"/>
</calcChain>
</file>

<file path=xl/sharedStrings.xml><?xml version="1.0" encoding="utf-8"?>
<sst xmlns="http://schemas.openxmlformats.org/spreadsheetml/2006/main" count="147" uniqueCount="43">
  <si>
    <t>Persona</t>
  </si>
  <si>
    <t>Fisico</t>
  </si>
  <si>
    <t>Psicologico</t>
  </si>
  <si>
    <t>Sociale</t>
  </si>
  <si>
    <t>Ambientale</t>
  </si>
  <si>
    <t>QoL Totale</t>
  </si>
  <si>
    <t>Ettore</t>
  </si>
  <si>
    <t>Teresa</t>
  </si>
  <si>
    <t>Antonietta</t>
  </si>
  <si>
    <t>Cesare</t>
  </si>
  <si>
    <t>Orietta</t>
  </si>
  <si>
    <t>Vittorio</t>
  </si>
  <si>
    <t>Nina</t>
  </si>
  <si>
    <t>Raimondo</t>
  </si>
  <si>
    <t>QoL media</t>
  </si>
  <si>
    <t>Dominio</t>
  </si>
  <si>
    <t>Chatbot</t>
  </si>
  <si>
    <t>WHOQOL</t>
  </si>
  <si>
    <t>Differenza</t>
  </si>
  <si>
    <t>Osservazione</t>
  </si>
  <si>
    <t>Dettaglio</t>
  </si>
  <si>
    <t>Sociale è il dominio più sottostimato</t>
  </si>
  <si>
    <t>Quasi tutti mostrano differenze negative</t>
  </si>
  <si>
    <t>Psicologico è il più variabile</t>
  </si>
  <si>
    <t>Sono presenti sia sovrastime che sottostime</t>
  </si>
  <si>
    <t>Fisico è il più preciso</t>
  </si>
  <si>
    <t>Differenze generalmente più contenute</t>
  </si>
  <si>
    <t>Caso con sottostima più marcata</t>
  </si>
  <si>
    <t>Orietta e Vittorio</t>
  </si>
  <si>
    <t>Presentano alcune differenze positive</t>
  </si>
  <si>
    <t>D. Fisico</t>
  </si>
  <si>
    <t>D. Psicologico</t>
  </si>
  <si>
    <t>D. Sociale</t>
  </si>
  <si>
    <t>D. Ambientale</t>
  </si>
  <si>
    <t>Legenda</t>
  </si>
  <si>
    <t>Tendenza</t>
  </si>
  <si>
    <t>Differenza tra -5 e +5</t>
  </si>
  <si>
    <t>Buono (accurato)</t>
  </si>
  <si>
    <t>Accettabile (sottostima/sovrastima leggera)</t>
  </si>
  <si>
    <t>Scarso (forte sottostima/sovrastima)</t>
  </si>
  <si>
    <t>Differenza tra -10 e -5 o +5 e +10</t>
  </si>
  <si>
    <t>Differenza &lt; -10 o &gt; +10</t>
  </si>
  <si>
    <t>Domanda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</si>
</sst>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F111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3615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2" fontId="0" fillId="0" borderId="13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14" xfId="0" applyNumberFormat="1" applyBorder="1"/>
    <xf numFmtId="2" fontId="0" fillId="0" borderId="0" xfId="0" applyNumberFormat="1" applyBorder="1"/>
    <xf numFmtId="2" fontId="0" fillId="0" borderId="9" xfId="0" applyNumberFormat="1" applyBorder="1"/>
    <xf numFmtId="2" fontId="0" fillId="0" borderId="15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0" xfId="0" applyNumberFormat="1"/>
    <xf numFmtId="1" fontId="0" fillId="0" borderId="6" xfId="0" applyNumberFormat="1" applyBorder="1"/>
    <xf numFmtId="1" fontId="0" fillId="0" borderId="0" xfId="0" applyNumberFormat="1" applyBorder="1"/>
    <xf numFmtId="1" fontId="0" fillId="0" borderId="11" xfId="0" applyNumberFormat="1" applyBorder="1"/>
    <xf numFmtId="2" fontId="0" fillId="0" borderId="5" xfId="0" applyNumberFormat="1" applyBorder="1"/>
    <xf numFmtId="2" fontId="0" fillId="0" borderId="8" xfId="0" applyNumberFormat="1" applyBorder="1"/>
    <xf numFmtId="2" fontId="0" fillId="0" borderId="10" xfId="0" applyNumberFormat="1" applyBorder="1"/>
    <xf numFmtId="0" fontId="1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5" borderId="0" xfId="0" applyFont="1" applyFill="1"/>
    <xf numFmtId="2" fontId="0" fillId="0" borderId="0" xfId="0" applyNumberFormat="1" applyFill="1" applyBorder="1"/>
    <xf numFmtId="2" fontId="0" fillId="0" borderId="6" xfId="0" applyNumberFormat="1" applyFill="1" applyBorder="1"/>
    <xf numFmtId="2" fontId="0" fillId="0" borderId="11" xfId="0" applyNumberFormat="1" applyFill="1" applyBorder="1"/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0" fillId="5" borderId="13" xfId="0" applyFill="1" applyBorder="1"/>
    <xf numFmtId="0" fontId="0" fillId="5" borderId="14" xfId="0" applyFill="1" applyBorder="1"/>
    <xf numFmtId="0" fontId="0" fillId="5" borderId="15" xfId="0" applyFill="1" applyBorder="1"/>
    <xf numFmtId="0" fontId="0" fillId="2" borderId="13" xfId="0" applyFill="1" applyBorder="1"/>
    <xf numFmtId="0" fontId="0" fillId="2" borderId="14" xfId="0" applyFill="1" applyBorder="1"/>
    <xf numFmtId="0" fontId="0" fillId="3" borderId="15" xfId="0" applyFill="1" applyBorder="1"/>
    <xf numFmtId="0" fontId="0" fillId="3" borderId="13" xfId="0" applyFill="1" applyBorder="1"/>
    <xf numFmtId="0" fontId="0" fillId="3" borderId="14" xfId="0" applyFill="1" applyBorder="1"/>
    <xf numFmtId="0" fontId="0" fillId="2" borderId="15" xfId="0" applyFill="1" applyBorder="1"/>
    <xf numFmtId="0" fontId="1" fillId="6" borderId="2" xfId="0" applyFont="1" applyFill="1" applyBorder="1"/>
    <xf numFmtId="0" fontId="1" fillId="6" borderId="4" xfId="0" applyFont="1" applyFill="1" applyBorder="1"/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D93615"/>
      <color rgb="FFF44724"/>
      <color rgb="FFED61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activeCell="D27" sqref="D27"/>
    </sheetView>
  </sheetViews>
  <sheetFormatPr defaultRowHeight="15" x14ac:dyDescent="0.25"/>
  <cols>
    <col min="1" max="1" width="12" customWidth="1"/>
    <col min="2" max="2" width="12.140625" customWidth="1"/>
    <col min="3" max="7" width="12.85546875" customWidth="1"/>
  </cols>
  <sheetData>
    <row r="1" spans="1:7" ht="15.75" thickBot="1" x14ac:dyDescent="0.3">
      <c r="A1" s="22" t="s">
        <v>0</v>
      </c>
      <c r="B1" s="23" t="s">
        <v>42</v>
      </c>
      <c r="C1" s="23" t="s">
        <v>30</v>
      </c>
      <c r="D1" s="23" t="s">
        <v>31</v>
      </c>
      <c r="E1" s="23" t="s">
        <v>32</v>
      </c>
      <c r="F1" s="23" t="s">
        <v>33</v>
      </c>
      <c r="G1" s="24" t="s">
        <v>5</v>
      </c>
    </row>
    <row r="2" spans="1:7" x14ac:dyDescent="0.25">
      <c r="A2" s="6" t="s">
        <v>6</v>
      </c>
      <c r="B2" s="16">
        <v>1</v>
      </c>
      <c r="C2" s="7">
        <v>57.14</v>
      </c>
      <c r="D2" s="7">
        <v>66.67</v>
      </c>
      <c r="E2" s="7">
        <v>58.33</v>
      </c>
      <c r="F2" s="7">
        <v>50</v>
      </c>
      <c r="G2" s="8">
        <v>58.03</v>
      </c>
    </row>
    <row r="3" spans="1:7" x14ac:dyDescent="0.25">
      <c r="A3" s="9" t="s">
        <v>6</v>
      </c>
      <c r="B3" s="17">
        <v>2</v>
      </c>
      <c r="C3" s="10">
        <v>57.14</v>
      </c>
      <c r="D3" s="10">
        <v>45.83</v>
      </c>
      <c r="E3" s="10">
        <v>50</v>
      </c>
      <c r="F3" s="10">
        <v>53.12</v>
      </c>
      <c r="G3" s="11">
        <v>51.52</v>
      </c>
    </row>
    <row r="4" spans="1:7" ht="15.75" thickBot="1" x14ac:dyDescent="0.3">
      <c r="A4" s="12" t="s">
        <v>6</v>
      </c>
      <c r="B4" s="18">
        <v>3</v>
      </c>
      <c r="C4" s="13">
        <v>57.14</v>
      </c>
      <c r="D4" s="13">
        <v>62.5</v>
      </c>
      <c r="E4" s="13">
        <v>50</v>
      </c>
      <c r="F4" s="13">
        <v>53.12</v>
      </c>
      <c r="G4" s="14">
        <v>55.69</v>
      </c>
    </row>
    <row r="5" spans="1:7" x14ac:dyDescent="0.25">
      <c r="A5" s="6" t="s">
        <v>7</v>
      </c>
      <c r="B5" s="16">
        <v>1</v>
      </c>
      <c r="C5" s="7">
        <v>53.57</v>
      </c>
      <c r="D5" s="7">
        <v>58.33</v>
      </c>
      <c r="E5" s="7">
        <v>50</v>
      </c>
      <c r="F5" s="7">
        <v>56.25</v>
      </c>
      <c r="G5" s="8">
        <v>54.54</v>
      </c>
    </row>
    <row r="6" spans="1:7" x14ac:dyDescent="0.25">
      <c r="A6" s="9" t="s">
        <v>7</v>
      </c>
      <c r="B6" s="17">
        <v>2</v>
      </c>
      <c r="C6" s="10">
        <v>50</v>
      </c>
      <c r="D6" s="10">
        <v>58.33</v>
      </c>
      <c r="E6" s="10">
        <v>50</v>
      </c>
      <c r="F6" s="10">
        <v>50</v>
      </c>
      <c r="G6" s="11">
        <v>52.08</v>
      </c>
    </row>
    <row r="7" spans="1:7" ht="15.75" thickBot="1" x14ac:dyDescent="0.3">
      <c r="A7" s="12" t="s">
        <v>7</v>
      </c>
      <c r="B7" s="18">
        <v>3</v>
      </c>
      <c r="C7" s="13">
        <v>60.71</v>
      </c>
      <c r="D7" s="13">
        <v>66.67</v>
      </c>
      <c r="E7" s="13">
        <v>50</v>
      </c>
      <c r="F7" s="13">
        <v>65.62</v>
      </c>
      <c r="G7" s="14">
        <v>60.75</v>
      </c>
    </row>
    <row r="8" spans="1:7" x14ac:dyDescent="0.25">
      <c r="A8" s="6" t="s">
        <v>8</v>
      </c>
      <c r="B8" s="16">
        <v>1</v>
      </c>
      <c r="C8" s="7">
        <v>53.57</v>
      </c>
      <c r="D8" s="7">
        <v>62.5</v>
      </c>
      <c r="E8" s="7">
        <v>41.67</v>
      </c>
      <c r="F8" s="7">
        <v>56.25</v>
      </c>
      <c r="G8" s="8">
        <v>53.5</v>
      </c>
    </row>
    <row r="9" spans="1:7" x14ac:dyDescent="0.25">
      <c r="A9" s="9" t="s">
        <v>8</v>
      </c>
      <c r="B9" s="17">
        <v>2</v>
      </c>
      <c r="C9" s="10">
        <v>64.290000000000006</v>
      </c>
      <c r="D9" s="10">
        <v>70.83</v>
      </c>
      <c r="E9" s="10">
        <v>58.33</v>
      </c>
      <c r="F9" s="10">
        <v>59.38</v>
      </c>
      <c r="G9" s="11">
        <v>63.21</v>
      </c>
    </row>
    <row r="10" spans="1:7" ht="15.75" thickBot="1" x14ac:dyDescent="0.3">
      <c r="A10" s="12" t="s">
        <v>8</v>
      </c>
      <c r="B10" s="18">
        <v>3</v>
      </c>
      <c r="C10" s="13">
        <v>53.57</v>
      </c>
      <c r="D10" s="13">
        <v>54.17</v>
      </c>
      <c r="E10" s="13">
        <v>66.67</v>
      </c>
      <c r="F10" s="13">
        <v>56.25</v>
      </c>
      <c r="G10" s="14">
        <v>57.67</v>
      </c>
    </row>
    <row r="11" spans="1:7" x14ac:dyDescent="0.25">
      <c r="A11" s="6" t="s">
        <v>9</v>
      </c>
      <c r="B11" s="16">
        <v>1</v>
      </c>
      <c r="C11" s="7">
        <v>64.290000000000006</v>
      </c>
      <c r="D11" s="7">
        <v>70.83</v>
      </c>
      <c r="E11" s="7">
        <v>50</v>
      </c>
      <c r="F11" s="7">
        <v>50</v>
      </c>
      <c r="G11" s="8">
        <v>58.78</v>
      </c>
    </row>
    <row r="12" spans="1:7" x14ac:dyDescent="0.25">
      <c r="A12" s="9" t="s">
        <v>9</v>
      </c>
      <c r="B12" s="17">
        <v>2</v>
      </c>
      <c r="C12" s="10">
        <v>46.43</v>
      </c>
      <c r="D12" s="10">
        <v>45.83</v>
      </c>
      <c r="E12" s="10">
        <v>41.67</v>
      </c>
      <c r="F12" s="10">
        <v>53.12</v>
      </c>
      <c r="G12" s="11">
        <v>46.76</v>
      </c>
    </row>
    <row r="13" spans="1:7" ht="15.75" thickBot="1" x14ac:dyDescent="0.3">
      <c r="A13" s="12" t="s">
        <v>9</v>
      </c>
      <c r="B13" s="18">
        <v>3</v>
      </c>
      <c r="C13" s="13">
        <v>53.57</v>
      </c>
      <c r="D13" s="13">
        <v>41.67</v>
      </c>
      <c r="E13" s="13">
        <v>50</v>
      </c>
      <c r="F13" s="13">
        <v>56.25</v>
      </c>
      <c r="G13" s="14">
        <v>50.37</v>
      </c>
    </row>
    <row r="14" spans="1:7" x14ac:dyDescent="0.25">
      <c r="A14" s="6" t="s">
        <v>10</v>
      </c>
      <c r="B14" s="16">
        <v>1</v>
      </c>
      <c r="C14" s="7">
        <v>42.86</v>
      </c>
      <c r="D14" s="7">
        <v>54.17</v>
      </c>
      <c r="E14" s="7">
        <v>58.33</v>
      </c>
      <c r="F14" s="7">
        <v>53.12</v>
      </c>
      <c r="G14" s="8">
        <v>52.12</v>
      </c>
    </row>
    <row r="15" spans="1:7" x14ac:dyDescent="0.25">
      <c r="A15" s="9" t="s">
        <v>10</v>
      </c>
      <c r="B15" s="17">
        <v>2</v>
      </c>
      <c r="C15" s="10">
        <v>35.71</v>
      </c>
      <c r="D15" s="10">
        <v>54.17</v>
      </c>
      <c r="E15" s="10">
        <v>33.33</v>
      </c>
      <c r="F15" s="10">
        <v>50</v>
      </c>
      <c r="G15" s="11">
        <v>43.3</v>
      </c>
    </row>
    <row r="16" spans="1:7" ht="15.75" thickBot="1" x14ac:dyDescent="0.3">
      <c r="A16" s="12" t="s">
        <v>10</v>
      </c>
      <c r="B16" s="18">
        <v>3</v>
      </c>
      <c r="C16" s="13">
        <v>53.57</v>
      </c>
      <c r="D16" s="13">
        <v>45.83</v>
      </c>
      <c r="E16" s="13">
        <v>41.67</v>
      </c>
      <c r="F16" s="13">
        <v>50</v>
      </c>
      <c r="G16" s="14">
        <v>47.77</v>
      </c>
    </row>
    <row r="17" spans="1:7" x14ac:dyDescent="0.25">
      <c r="A17" s="6" t="s">
        <v>11</v>
      </c>
      <c r="B17" s="16">
        <v>1</v>
      </c>
      <c r="C17" s="7">
        <v>53.57</v>
      </c>
      <c r="D17" s="7">
        <v>58.33</v>
      </c>
      <c r="E17" s="7">
        <v>50</v>
      </c>
      <c r="F17" s="7">
        <v>62.5</v>
      </c>
      <c r="G17" s="8">
        <v>56.1</v>
      </c>
    </row>
    <row r="18" spans="1:7" x14ac:dyDescent="0.25">
      <c r="A18" s="9" t="s">
        <v>11</v>
      </c>
      <c r="B18" s="17">
        <v>2</v>
      </c>
      <c r="C18" s="10">
        <v>46.43</v>
      </c>
      <c r="D18" s="10">
        <v>62.5</v>
      </c>
      <c r="E18" s="10">
        <v>50</v>
      </c>
      <c r="F18" s="10">
        <v>53.12</v>
      </c>
      <c r="G18" s="11">
        <v>53.01</v>
      </c>
    </row>
    <row r="19" spans="1:7" ht="15.75" thickBot="1" x14ac:dyDescent="0.3">
      <c r="A19" s="12" t="s">
        <v>11</v>
      </c>
      <c r="B19" s="18">
        <v>3</v>
      </c>
      <c r="C19" s="13">
        <v>42.86</v>
      </c>
      <c r="D19" s="13">
        <v>62.5</v>
      </c>
      <c r="E19" s="13">
        <v>58.33</v>
      </c>
      <c r="F19" s="13">
        <v>62.5</v>
      </c>
      <c r="G19" s="14">
        <v>56.55</v>
      </c>
    </row>
    <row r="20" spans="1:7" x14ac:dyDescent="0.25">
      <c r="A20" s="6" t="s">
        <v>12</v>
      </c>
      <c r="B20" s="16">
        <v>1</v>
      </c>
      <c r="C20" s="7">
        <v>57.14</v>
      </c>
      <c r="D20" s="7">
        <v>66.67</v>
      </c>
      <c r="E20" s="7">
        <v>50</v>
      </c>
      <c r="F20" s="7">
        <v>56.25</v>
      </c>
      <c r="G20" s="8">
        <v>57.52</v>
      </c>
    </row>
    <row r="21" spans="1:7" x14ac:dyDescent="0.25">
      <c r="A21" s="9" t="s">
        <v>12</v>
      </c>
      <c r="B21" s="17">
        <v>2</v>
      </c>
      <c r="C21" s="10">
        <v>60.71</v>
      </c>
      <c r="D21" s="10">
        <v>62.5</v>
      </c>
      <c r="E21" s="10">
        <v>66.67</v>
      </c>
      <c r="F21" s="10">
        <v>62.5</v>
      </c>
      <c r="G21" s="11">
        <v>63.09</v>
      </c>
    </row>
    <row r="22" spans="1:7" ht="15.75" thickBot="1" x14ac:dyDescent="0.3">
      <c r="A22" s="12" t="s">
        <v>12</v>
      </c>
      <c r="B22" s="18">
        <v>3</v>
      </c>
      <c r="C22" s="13">
        <v>50</v>
      </c>
      <c r="D22" s="13">
        <v>62.5</v>
      </c>
      <c r="E22" s="13">
        <v>50</v>
      </c>
      <c r="F22" s="13">
        <v>62.5</v>
      </c>
      <c r="G22" s="14">
        <v>56.25</v>
      </c>
    </row>
    <row r="23" spans="1:7" x14ac:dyDescent="0.25">
      <c r="A23" s="6" t="s">
        <v>13</v>
      </c>
      <c r="B23" s="16">
        <v>1</v>
      </c>
      <c r="C23" s="7">
        <v>53.57</v>
      </c>
      <c r="D23" s="7">
        <v>70.83</v>
      </c>
      <c r="E23" s="7">
        <v>66.67</v>
      </c>
      <c r="F23" s="7">
        <v>59.38</v>
      </c>
      <c r="G23" s="8">
        <v>62.61</v>
      </c>
    </row>
    <row r="24" spans="1:7" x14ac:dyDescent="0.25">
      <c r="A24" s="9" t="s">
        <v>13</v>
      </c>
      <c r="B24" s="17">
        <v>2</v>
      </c>
      <c r="C24" s="10">
        <v>60.71</v>
      </c>
      <c r="D24" s="10">
        <v>70.83</v>
      </c>
      <c r="E24" s="10">
        <v>75</v>
      </c>
      <c r="F24" s="10">
        <v>59.38</v>
      </c>
      <c r="G24" s="11">
        <v>66.48</v>
      </c>
    </row>
    <row r="25" spans="1:7" ht="15.75" thickBot="1" x14ac:dyDescent="0.3">
      <c r="A25" s="12" t="s">
        <v>13</v>
      </c>
      <c r="B25" s="18">
        <v>3</v>
      </c>
      <c r="C25" s="13">
        <v>60.71</v>
      </c>
      <c r="D25" s="13">
        <v>66.67</v>
      </c>
      <c r="E25" s="13">
        <v>50</v>
      </c>
      <c r="F25" s="13">
        <v>50</v>
      </c>
      <c r="G25" s="14">
        <v>56.84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D28" sqref="D28"/>
    </sheetView>
  </sheetViews>
  <sheetFormatPr defaultRowHeight="15" x14ac:dyDescent="0.25"/>
  <cols>
    <col min="1" max="1" width="12" customWidth="1"/>
    <col min="2" max="6" width="12.85546875" customWidth="1"/>
  </cols>
  <sheetData>
    <row r="1" spans="1:6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14</v>
      </c>
    </row>
    <row r="2" spans="1:6" x14ac:dyDescent="0.25">
      <c r="A2" s="15" t="s">
        <v>6</v>
      </c>
      <c r="B2" s="15">
        <f>AVERAGE('Dati grezzi Chatbot'!C2:C4)</f>
        <v>57.140000000000008</v>
      </c>
      <c r="C2" s="15">
        <f>AVERAGE('Dati grezzi Chatbot'!D2:D4)</f>
        <v>58.333333333333336</v>
      </c>
      <c r="D2" s="15">
        <f>AVERAGE('Dati grezzi Chatbot'!E2:E4)</f>
        <v>52.776666666666664</v>
      </c>
      <c r="E2" s="15">
        <f>AVERAGE('Dati grezzi Chatbot'!F2:F4)</f>
        <v>52.080000000000005</v>
      </c>
      <c r="F2" s="15">
        <f>AVERAGE('Dati grezzi Chatbot'!G2:G4)</f>
        <v>55.080000000000005</v>
      </c>
    </row>
    <row r="3" spans="1:6" x14ac:dyDescent="0.25">
      <c r="A3" s="15" t="s">
        <v>7</v>
      </c>
      <c r="B3" s="15">
        <f>AVERAGE('Dati grezzi Chatbot'!C5:C7)</f>
        <v>54.76</v>
      </c>
      <c r="C3" s="15">
        <f>AVERAGE('Dati grezzi Chatbot'!D5:D7)</f>
        <v>61.109999999999992</v>
      </c>
      <c r="D3" s="15">
        <f>AVERAGE('Dati grezzi Chatbot'!E5:E7)</f>
        <v>50</v>
      </c>
      <c r="E3" s="15">
        <f>AVERAGE('Dati grezzi Chatbot'!F5:F7)</f>
        <v>57.29</v>
      </c>
      <c r="F3" s="15">
        <f>AVERAGE('Dati grezzi Chatbot'!G5:G7)</f>
        <v>55.79</v>
      </c>
    </row>
    <row r="4" spans="1:6" x14ac:dyDescent="0.25">
      <c r="A4" s="15" t="s">
        <v>8</v>
      </c>
      <c r="B4" s="15">
        <f>AVERAGE('Dati grezzi Chatbot'!C8:C10)</f>
        <v>57.143333333333338</v>
      </c>
      <c r="C4" s="15">
        <f>AVERAGE('Dati grezzi Chatbot'!D8:D10)</f>
        <v>62.5</v>
      </c>
      <c r="D4" s="15">
        <f>AVERAGE('Dati grezzi Chatbot'!E8:E10)</f>
        <v>55.556666666666672</v>
      </c>
      <c r="E4" s="15">
        <f>AVERAGE('Dati grezzi Chatbot'!F8:F10)</f>
        <v>57.293333333333329</v>
      </c>
      <c r="F4" s="15">
        <f>AVERAGE('Dati grezzi Chatbot'!G8:G10)</f>
        <v>58.126666666666665</v>
      </c>
    </row>
    <row r="5" spans="1:6" x14ac:dyDescent="0.25">
      <c r="A5" s="15" t="s">
        <v>9</v>
      </c>
      <c r="B5" s="15">
        <f>AVERAGE('Dati grezzi Chatbot'!C11:C13)</f>
        <v>54.763333333333328</v>
      </c>
      <c r="C5" s="15">
        <f>AVERAGE('Dati grezzi Chatbot'!D11:D13)</f>
        <v>52.776666666666664</v>
      </c>
      <c r="D5" s="15">
        <f>AVERAGE('Dati grezzi Chatbot'!E11:E13)</f>
        <v>47.223333333333336</v>
      </c>
      <c r="E5" s="15">
        <f>AVERAGE('Dati grezzi Chatbot'!F11:F13)</f>
        <v>53.123333333333335</v>
      </c>
      <c r="F5" s="15">
        <f>AVERAGE('Dati grezzi Chatbot'!G11:G13)</f>
        <v>51.97</v>
      </c>
    </row>
    <row r="6" spans="1:6" x14ac:dyDescent="0.25">
      <c r="A6" s="15" t="s">
        <v>10</v>
      </c>
      <c r="B6" s="15">
        <f>AVERAGE('Dati grezzi Chatbot'!C14:C16)</f>
        <v>44.04666666666666</v>
      </c>
      <c r="C6" s="15">
        <f>AVERAGE('Dati grezzi Chatbot'!D14:D16)</f>
        <v>51.390000000000008</v>
      </c>
      <c r="D6" s="15">
        <f>AVERAGE('Dati grezzi Chatbot'!E14:E16)</f>
        <v>44.443333333333328</v>
      </c>
      <c r="E6" s="15">
        <f>AVERAGE('Dati grezzi Chatbot'!F14:F16)</f>
        <v>51.04</v>
      </c>
      <c r="F6" s="15">
        <f>AVERAGE('Dati grezzi Chatbot'!G14:G16)</f>
        <v>47.73</v>
      </c>
    </row>
    <row r="7" spans="1:6" x14ac:dyDescent="0.25">
      <c r="A7" s="15" t="s">
        <v>11</v>
      </c>
      <c r="B7" s="15">
        <f>AVERAGE('Dati grezzi Chatbot'!C17:C19)</f>
        <v>47.620000000000005</v>
      </c>
      <c r="C7" s="15">
        <f>AVERAGE('Dati grezzi Chatbot'!D17:D19)</f>
        <v>61.109999999999992</v>
      </c>
      <c r="D7" s="15">
        <f>AVERAGE('Dati grezzi Chatbot'!E17:E19)</f>
        <v>52.776666666666664</v>
      </c>
      <c r="E7" s="15">
        <f>AVERAGE('Dati grezzi Chatbot'!F17:F19)</f>
        <v>59.373333333333335</v>
      </c>
      <c r="F7" s="15">
        <f>AVERAGE('Dati grezzi Chatbot'!G17:G19)</f>
        <v>55.22</v>
      </c>
    </row>
    <row r="8" spans="1:6" x14ac:dyDescent="0.25">
      <c r="A8" s="15" t="s">
        <v>12</v>
      </c>
      <c r="B8" s="15">
        <f>AVERAGE('Dati grezzi Chatbot'!C20:C22)</f>
        <v>55.949999999999996</v>
      </c>
      <c r="C8" s="15">
        <f>AVERAGE('Dati grezzi Chatbot'!D20:D22)</f>
        <v>63.890000000000008</v>
      </c>
      <c r="D8" s="15">
        <f>AVERAGE('Dati grezzi Chatbot'!E20:E22)</f>
        <v>55.556666666666672</v>
      </c>
      <c r="E8" s="15">
        <f>AVERAGE('Dati grezzi Chatbot'!F20:F22)</f>
        <v>60.416666666666664</v>
      </c>
      <c r="F8" s="15">
        <f>AVERAGE('Dati grezzi Chatbot'!G20:G22)</f>
        <v>58.95333333333334</v>
      </c>
    </row>
    <row r="9" spans="1:6" x14ac:dyDescent="0.25">
      <c r="A9" s="15" t="s">
        <v>13</v>
      </c>
      <c r="B9" s="15">
        <f>AVERAGE('Dati grezzi Chatbot'!C23:C25)</f>
        <v>58.330000000000005</v>
      </c>
      <c r="C9" s="15">
        <f>AVERAGE('Dati grezzi Chatbot'!D23:D25)</f>
        <v>69.443333333333328</v>
      </c>
      <c r="D9" s="15">
        <f>AVERAGE('Dati grezzi Chatbot'!E23:E25)</f>
        <v>63.890000000000008</v>
      </c>
      <c r="E9" s="15">
        <f>AVERAGE('Dati grezzi Chatbot'!F23:F25)</f>
        <v>56.25333333333333</v>
      </c>
      <c r="F9" s="15">
        <f>AVERAGE('Dati grezzi Chatbot'!G23:G25)</f>
        <v>61.976666666666667</v>
      </c>
    </row>
  </sheetData>
  <pageMargins left="0.75" right="0.75" top="1" bottom="1" header="0.5" footer="0.5"/>
  <ignoredErrors>
    <ignoredError sqref="B2:F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E14" sqref="E14"/>
    </sheetView>
  </sheetViews>
  <sheetFormatPr defaultRowHeight="15" x14ac:dyDescent="0.25"/>
  <cols>
    <col min="1" max="1" width="12" customWidth="1"/>
    <col min="2" max="2" width="8" customWidth="1"/>
    <col min="3" max="3" width="13" customWidth="1"/>
    <col min="4" max="4" width="9" customWidth="1"/>
    <col min="5" max="5" width="12" customWidth="1"/>
  </cols>
  <sheetData>
    <row r="1" spans="1:5" x14ac:dyDescent="0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 spans="1:5" x14ac:dyDescent="0.25">
      <c r="A2" t="s">
        <v>6</v>
      </c>
      <c r="B2">
        <v>69</v>
      </c>
      <c r="C2">
        <v>81</v>
      </c>
      <c r="D2">
        <v>75</v>
      </c>
      <c r="E2">
        <v>81</v>
      </c>
    </row>
    <row r="3" spans="1:5" x14ac:dyDescent="0.25">
      <c r="A3" t="s">
        <v>7</v>
      </c>
      <c r="B3">
        <v>55</v>
      </c>
      <c r="C3">
        <v>58</v>
      </c>
      <c r="D3">
        <v>62</v>
      </c>
      <c r="E3">
        <v>65</v>
      </c>
    </row>
    <row r="4" spans="1:5" x14ac:dyDescent="0.25">
      <c r="A4" t="s">
        <v>8</v>
      </c>
      <c r="B4">
        <v>52</v>
      </c>
      <c r="C4">
        <v>65</v>
      </c>
      <c r="D4">
        <v>75</v>
      </c>
      <c r="E4">
        <v>70</v>
      </c>
    </row>
    <row r="5" spans="1:5" x14ac:dyDescent="0.25">
      <c r="A5" t="s">
        <v>9</v>
      </c>
      <c r="B5">
        <v>48</v>
      </c>
      <c r="C5">
        <v>50</v>
      </c>
      <c r="D5">
        <v>55</v>
      </c>
      <c r="E5">
        <v>58</v>
      </c>
    </row>
    <row r="6" spans="1:5" x14ac:dyDescent="0.25">
      <c r="A6" t="s">
        <v>10</v>
      </c>
      <c r="B6">
        <v>42</v>
      </c>
      <c r="C6">
        <v>45</v>
      </c>
      <c r="D6">
        <v>48</v>
      </c>
      <c r="E6">
        <v>45</v>
      </c>
    </row>
    <row r="7" spans="1:5" x14ac:dyDescent="0.25">
      <c r="A7" t="s">
        <v>11</v>
      </c>
      <c r="B7">
        <v>50</v>
      </c>
      <c r="C7">
        <v>42</v>
      </c>
      <c r="D7">
        <v>48</v>
      </c>
      <c r="E7">
        <v>52</v>
      </c>
    </row>
    <row r="8" spans="1:5" x14ac:dyDescent="0.25">
      <c r="A8" t="s">
        <v>12</v>
      </c>
      <c r="B8">
        <v>58</v>
      </c>
      <c r="C8">
        <v>62</v>
      </c>
      <c r="D8">
        <v>65</v>
      </c>
      <c r="E8">
        <v>68</v>
      </c>
    </row>
    <row r="9" spans="1:5" x14ac:dyDescent="0.25">
      <c r="A9" t="s">
        <v>13</v>
      </c>
      <c r="B9">
        <v>56</v>
      </c>
      <c r="C9">
        <v>68</v>
      </c>
      <c r="D9">
        <v>72</v>
      </c>
      <c r="E9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tabSelected="1" topLeftCell="B1" zoomScaleNormal="100" workbookViewId="0">
      <selection activeCell="I29" sqref="I29"/>
    </sheetView>
  </sheetViews>
  <sheetFormatPr defaultRowHeight="15" x14ac:dyDescent="0.25"/>
  <cols>
    <col min="1" max="1" width="12" customWidth="1"/>
    <col min="2" max="2" width="13" customWidth="1"/>
    <col min="3" max="3" width="16.42578125" customWidth="1"/>
    <col min="4" max="4" width="14.28515625" customWidth="1"/>
    <col min="5" max="5" width="12" customWidth="1"/>
    <col min="6" max="6" width="12.85546875" customWidth="1"/>
    <col min="9" max="9" width="35.5703125" customWidth="1"/>
    <col min="10" max="10" width="41.140625" customWidth="1"/>
  </cols>
  <sheetData>
    <row r="1" spans="1:10" ht="15.75" thickBot="1" x14ac:dyDescent="0.3">
      <c r="A1" s="22" t="s">
        <v>0</v>
      </c>
      <c r="B1" s="34" t="s">
        <v>15</v>
      </c>
      <c r="C1" s="35" t="s">
        <v>16</v>
      </c>
      <c r="D1" s="35" t="s">
        <v>17</v>
      </c>
      <c r="E1" s="35" t="s">
        <v>18</v>
      </c>
      <c r="F1" s="36" t="s">
        <v>35</v>
      </c>
    </row>
    <row r="2" spans="1:10" x14ac:dyDescent="0.25">
      <c r="A2" s="19" t="s">
        <v>6</v>
      </c>
      <c r="B2" s="19" t="s">
        <v>1</v>
      </c>
      <c r="C2" s="7">
        <f>'Medie Chatbot'!B2</f>
        <v>57.140000000000008</v>
      </c>
      <c r="D2" s="7">
        <f>'WHOQOL simulato'!B2</f>
        <v>69</v>
      </c>
      <c r="E2" s="32">
        <f t="shared" ref="E2:E33" si="0">C2-D2</f>
        <v>-11.859999999999992</v>
      </c>
      <c r="F2" s="37" t="str">
        <f>IF(E2&lt;-10,"Scarso",IF(E2&lt;-5,"Accettabile",IF(E2&lt;=5,"Buono",IF(E2&lt;=10,"Accettabile","Scarso"))))</f>
        <v>Scarso</v>
      </c>
    </row>
    <row r="3" spans="1:10" x14ac:dyDescent="0.25">
      <c r="A3" s="20" t="s">
        <v>6</v>
      </c>
      <c r="B3" s="20" t="s">
        <v>2</v>
      </c>
      <c r="C3" s="10">
        <f>'Medie Chatbot'!C2</f>
        <v>58.333333333333336</v>
      </c>
      <c r="D3" s="10">
        <f>'WHOQOL simulato'!C2</f>
        <v>81</v>
      </c>
      <c r="E3" s="31">
        <f t="shared" si="0"/>
        <v>-22.666666666666664</v>
      </c>
      <c r="F3" s="38" t="str">
        <f t="shared" ref="F3:F33" si="1">IF(E3&lt;-10,"Scarso",IF(E3&lt;-5,"Accettabile",IF(E3&lt;=5,"Buono",IF(E3&lt;=10,"Accettabile","Scarso"))))</f>
        <v>Scarso</v>
      </c>
    </row>
    <row r="4" spans="1:10" x14ac:dyDescent="0.25">
      <c r="A4" s="20" t="s">
        <v>6</v>
      </c>
      <c r="B4" s="20" t="s">
        <v>3</v>
      </c>
      <c r="C4" s="10">
        <f>'Medie Chatbot'!D2</f>
        <v>52.776666666666664</v>
      </c>
      <c r="D4" s="10">
        <f>'WHOQOL simulato'!D2</f>
        <v>75</v>
      </c>
      <c r="E4" s="31">
        <f t="shared" si="0"/>
        <v>-22.223333333333336</v>
      </c>
      <c r="F4" s="38" t="str">
        <f t="shared" si="1"/>
        <v>Scarso</v>
      </c>
    </row>
    <row r="5" spans="1:10" ht="15.75" thickBot="1" x14ac:dyDescent="0.3">
      <c r="A5" s="21" t="s">
        <v>6</v>
      </c>
      <c r="B5" s="21" t="s">
        <v>4</v>
      </c>
      <c r="C5" s="13">
        <f>'Medie Chatbot'!E2</f>
        <v>52.080000000000005</v>
      </c>
      <c r="D5" s="13">
        <f>'WHOQOL simulato'!E2</f>
        <v>81</v>
      </c>
      <c r="E5" s="33">
        <f t="shared" si="0"/>
        <v>-28.919999999999995</v>
      </c>
      <c r="F5" s="39" t="str">
        <f t="shared" si="1"/>
        <v>Scarso</v>
      </c>
      <c r="I5" s="27" t="s">
        <v>34</v>
      </c>
    </row>
    <row r="6" spans="1:10" x14ac:dyDescent="0.25">
      <c r="A6" s="19" t="s">
        <v>7</v>
      </c>
      <c r="B6" s="19" t="s">
        <v>1</v>
      </c>
      <c r="C6" s="7">
        <f>'Medie Chatbot'!B3</f>
        <v>54.76</v>
      </c>
      <c r="D6" s="7">
        <f>'WHOQOL simulato'!B3</f>
        <v>55</v>
      </c>
      <c r="E6" s="32">
        <f t="shared" si="0"/>
        <v>-0.24000000000000199</v>
      </c>
      <c r="F6" s="40" t="str">
        <f t="shared" si="1"/>
        <v>Buono</v>
      </c>
      <c r="I6" s="28" t="s">
        <v>36</v>
      </c>
      <c r="J6" s="26" t="s">
        <v>37</v>
      </c>
    </row>
    <row r="7" spans="1:10" x14ac:dyDescent="0.25">
      <c r="A7" s="20" t="s">
        <v>7</v>
      </c>
      <c r="B7" s="20" t="s">
        <v>2</v>
      </c>
      <c r="C7" s="10">
        <f>'Medie Chatbot'!C3</f>
        <v>61.109999999999992</v>
      </c>
      <c r="D7" s="10">
        <f>'WHOQOL simulato'!C3</f>
        <v>58</v>
      </c>
      <c r="E7" s="31">
        <f t="shared" si="0"/>
        <v>3.1099999999999923</v>
      </c>
      <c r="F7" s="41" t="str">
        <f t="shared" si="1"/>
        <v>Buono</v>
      </c>
      <c r="I7" s="29" t="s">
        <v>40</v>
      </c>
      <c r="J7" s="26" t="s">
        <v>38</v>
      </c>
    </row>
    <row r="8" spans="1:10" x14ac:dyDescent="0.25">
      <c r="A8" s="20" t="s">
        <v>7</v>
      </c>
      <c r="B8" s="20" t="s">
        <v>3</v>
      </c>
      <c r="C8" s="10">
        <f>'Medie Chatbot'!D3</f>
        <v>50</v>
      </c>
      <c r="D8" s="10">
        <f>'WHOQOL simulato'!D3</f>
        <v>62</v>
      </c>
      <c r="E8" s="31">
        <f t="shared" si="0"/>
        <v>-12</v>
      </c>
      <c r="F8" s="38" t="str">
        <f t="shared" si="1"/>
        <v>Scarso</v>
      </c>
      <c r="I8" s="30" t="s">
        <v>41</v>
      </c>
      <c r="J8" s="26" t="s">
        <v>39</v>
      </c>
    </row>
    <row r="9" spans="1:10" ht="15.75" thickBot="1" x14ac:dyDescent="0.3">
      <c r="A9" s="21" t="s">
        <v>7</v>
      </c>
      <c r="B9" s="21" t="s">
        <v>4</v>
      </c>
      <c r="C9" s="13">
        <f>'Medie Chatbot'!E3</f>
        <v>57.29</v>
      </c>
      <c r="D9" s="13">
        <f>'WHOQOL simulato'!E3</f>
        <v>65</v>
      </c>
      <c r="E9" s="33">
        <f t="shared" si="0"/>
        <v>-7.7100000000000009</v>
      </c>
      <c r="F9" s="42" t="str">
        <f t="shared" si="1"/>
        <v>Accettabile</v>
      </c>
      <c r="I9" s="2"/>
      <c r="J9" s="2"/>
    </row>
    <row r="10" spans="1:10" x14ac:dyDescent="0.25">
      <c r="A10" s="19" t="s">
        <v>8</v>
      </c>
      <c r="B10" s="19" t="s">
        <v>1</v>
      </c>
      <c r="C10" s="7">
        <f>'Medie Chatbot'!B4</f>
        <v>57.143333333333338</v>
      </c>
      <c r="D10" s="7">
        <f>'WHOQOL simulato'!B4</f>
        <v>52</v>
      </c>
      <c r="E10" s="32">
        <f t="shared" si="0"/>
        <v>5.143333333333338</v>
      </c>
      <c r="F10" s="43" t="str">
        <f t="shared" si="1"/>
        <v>Accettabile</v>
      </c>
      <c r="I10" s="2"/>
      <c r="J10" s="2"/>
    </row>
    <row r="11" spans="1:10" x14ac:dyDescent="0.25">
      <c r="A11" s="20" t="s">
        <v>8</v>
      </c>
      <c r="B11" s="20" t="s">
        <v>2</v>
      </c>
      <c r="C11" s="10">
        <f>'Medie Chatbot'!C4</f>
        <v>62.5</v>
      </c>
      <c r="D11" s="10">
        <f>'WHOQOL simulato'!C4</f>
        <v>65</v>
      </c>
      <c r="E11" s="31">
        <f t="shared" si="0"/>
        <v>-2.5</v>
      </c>
      <c r="F11" s="41" t="str">
        <f t="shared" si="1"/>
        <v>Buono</v>
      </c>
      <c r="I11" s="2"/>
      <c r="J11" s="2"/>
    </row>
    <row r="12" spans="1:10" x14ac:dyDescent="0.25">
      <c r="A12" s="20" t="s">
        <v>8</v>
      </c>
      <c r="B12" s="20" t="s">
        <v>3</v>
      </c>
      <c r="C12" s="10">
        <f>'Medie Chatbot'!D4</f>
        <v>55.556666666666672</v>
      </c>
      <c r="D12" s="10">
        <f>'WHOQOL simulato'!D4</f>
        <v>75</v>
      </c>
      <c r="E12" s="31">
        <f t="shared" si="0"/>
        <v>-19.443333333333328</v>
      </c>
      <c r="F12" s="38" t="str">
        <f t="shared" si="1"/>
        <v>Scarso</v>
      </c>
      <c r="I12" s="2"/>
      <c r="J12" s="2"/>
    </row>
    <row r="13" spans="1:10" ht="15.75" thickBot="1" x14ac:dyDescent="0.3">
      <c r="A13" s="21" t="s">
        <v>8</v>
      </c>
      <c r="B13" s="21" t="s">
        <v>4</v>
      </c>
      <c r="C13" s="13">
        <f>'Medie Chatbot'!E4</f>
        <v>57.293333333333329</v>
      </c>
      <c r="D13" s="13">
        <f>'WHOQOL simulato'!E4</f>
        <v>70</v>
      </c>
      <c r="E13" s="33">
        <f t="shared" si="0"/>
        <v>-12.706666666666671</v>
      </c>
      <c r="F13" s="39" t="str">
        <f t="shared" si="1"/>
        <v>Scarso</v>
      </c>
    </row>
    <row r="14" spans="1:10" x14ac:dyDescent="0.25">
      <c r="A14" s="19" t="s">
        <v>9</v>
      </c>
      <c r="B14" s="19" t="s">
        <v>1</v>
      </c>
      <c r="C14" s="7">
        <f>'Medie Chatbot'!B5</f>
        <v>54.763333333333328</v>
      </c>
      <c r="D14" s="7">
        <f>'WHOQOL simulato'!B5</f>
        <v>48</v>
      </c>
      <c r="E14" s="32">
        <f t="shared" si="0"/>
        <v>6.7633333333333283</v>
      </c>
      <c r="F14" s="43" t="str">
        <f t="shared" si="1"/>
        <v>Accettabile</v>
      </c>
    </row>
    <row r="15" spans="1:10" x14ac:dyDescent="0.25">
      <c r="A15" s="20" t="s">
        <v>9</v>
      </c>
      <c r="B15" s="20" t="s">
        <v>2</v>
      </c>
      <c r="C15" s="10">
        <f>'Medie Chatbot'!C5</f>
        <v>52.776666666666664</v>
      </c>
      <c r="D15" s="10">
        <f>'WHOQOL simulato'!C5</f>
        <v>50</v>
      </c>
      <c r="E15" s="31">
        <f t="shared" si="0"/>
        <v>2.7766666666666637</v>
      </c>
      <c r="F15" s="41" t="str">
        <f t="shared" si="1"/>
        <v>Buono</v>
      </c>
    </row>
    <row r="16" spans="1:10" x14ac:dyDescent="0.25">
      <c r="A16" s="20" t="s">
        <v>9</v>
      </c>
      <c r="B16" s="20" t="s">
        <v>3</v>
      </c>
      <c r="C16" s="10">
        <f>'Medie Chatbot'!D5</f>
        <v>47.223333333333336</v>
      </c>
      <c r="D16" s="10">
        <f>'WHOQOL simulato'!D5</f>
        <v>55</v>
      </c>
      <c r="E16" s="31">
        <f t="shared" si="0"/>
        <v>-7.7766666666666637</v>
      </c>
      <c r="F16" s="44" t="str">
        <f t="shared" si="1"/>
        <v>Accettabile</v>
      </c>
    </row>
    <row r="17" spans="1:10" ht="15.75" thickBot="1" x14ac:dyDescent="0.3">
      <c r="A17" s="21" t="s">
        <v>9</v>
      </c>
      <c r="B17" s="21" t="s">
        <v>4</v>
      </c>
      <c r="C17" s="13">
        <f>'Medie Chatbot'!E5</f>
        <v>53.123333333333335</v>
      </c>
      <c r="D17" s="13">
        <f>'WHOQOL simulato'!E5</f>
        <v>58</v>
      </c>
      <c r="E17" s="33">
        <f t="shared" si="0"/>
        <v>-4.8766666666666652</v>
      </c>
      <c r="F17" s="45" t="str">
        <f t="shared" si="1"/>
        <v>Buono</v>
      </c>
    </row>
    <row r="18" spans="1:10" x14ac:dyDescent="0.25">
      <c r="A18" s="19" t="s">
        <v>10</v>
      </c>
      <c r="B18" s="19" t="s">
        <v>1</v>
      </c>
      <c r="C18" s="7">
        <f>'Medie Chatbot'!B6</f>
        <v>44.04666666666666</v>
      </c>
      <c r="D18" s="7">
        <f>'WHOQOL simulato'!B6</f>
        <v>42</v>
      </c>
      <c r="E18" s="32">
        <f t="shared" si="0"/>
        <v>2.0466666666666598</v>
      </c>
      <c r="F18" s="40" t="str">
        <f t="shared" si="1"/>
        <v>Buono</v>
      </c>
    </row>
    <row r="19" spans="1:10" x14ac:dyDescent="0.25">
      <c r="A19" s="20" t="s">
        <v>10</v>
      </c>
      <c r="B19" s="20" t="s">
        <v>2</v>
      </c>
      <c r="C19" s="10">
        <f>'Medie Chatbot'!C6</f>
        <v>51.390000000000008</v>
      </c>
      <c r="D19" s="10">
        <f>'WHOQOL simulato'!C6</f>
        <v>45</v>
      </c>
      <c r="E19" s="31">
        <f t="shared" si="0"/>
        <v>6.3900000000000077</v>
      </c>
      <c r="F19" s="44" t="str">
        <f t="shared" si="1"/>
        <v>Accettabile</v>
      </c>
    </row>
    <row r="20" spans="1:10" x14ac:dyDescent="0.25">
      <c r="A20" s="20" t="s">
        <v>10</v>
      </c>
      <c r="B20" s="20" t="s">
        <v>3</v>
      </c>
      <c r="C20" s="10">
        <f>'Medie Chatbot'!D6</f>
        <v>44.443333333333328</v>
      </c>
      <c r="D20" s="10">
        <f>'WHOQOL simulato'!D6</f>
        <v>48</v>
      </c>
      <c r="E20" s="31">
        <f t="shared" si="0"/>
        <v>-3.556666666666672</v>
      </c>
      <c r="F20" s="41" t="str">
        <f t="shared" si="1"/>
        <v>Buono</v>
      </c>
    </row>
    <row r="21" spans="1:10" ht="15.75" thickBot="1" x14ac:dyDescent="0.3">
      <c r="A21" s="21" t="s">
        <v>10</v>
      </c>
      <c r="B21" s="21" t="s">
        <v>4</v>
      </c>
      <c r="C21" s="13">
        <f>'Medie Chatbot'!E6</f>
        <v>51.04</v>
      </c>
      <c r="D21" s="13">
        <f>'WHOQOL simulato'!E6</f>
        <v>45</v>
      </c>
      <c r="E21" s="33">
        <f t="shared" si="0"/>
        <v>6.0399999999999991</v>
      </c>
      <c r="F21" s="42" t="str">
        <f t="shared" si="1"/>
        <v>Accettabile</v>
      </c>
    </row>
    <row r="22" spans="1:10" x14ac:dyDescent="0.25">
      <c r="A22" s="19" t="s">
        <v>11</v>
      </c>
      <c r="B22" s="19" t="s">
        <v>1</v>
      </c>
      <c r="C22" s="7">
        <f>'Medie Chatbot'!B7</f>
        <v>47.620000000000005</v>
      </c>
      <c r="D22" s="7">
        <f>'WHOQOL simulato'!B7</f>
        <v>50</v>
      </c>
      <c r="E22" s="32">
        <f t="shared" si="0"/>
        <v>-2.3799999999999955</v>
      </c>
      <c r="F22" s="40" t="str">
        <f t="shared" si="1"/>
        <v>Buono</v>
      </c>
    </row>
    <row r="23" spans="1:10" x14ac:dyDescent="0.25">
      <c r="A23" s="20" t="s">
        <v>11</v>
      </c>
      <c r="B23" s="20" t="s">
        <v>2</v>
      </c>
      <c r="C23" s="10">
        <f>'Medie Chatbot'!C7</f>
        <v>61.109999999999992</v>
      </c>
      <c r="D23" s="10">
        <f>'WHOQOL simulato'!C7</f>
        <v>42</v>
      </c>
      <c r="E23" s="31">
        <f t="shared" si="0"/>
        <v>19.109999999999992</v>
      </c>
      <c r="F23" s="38" t="str">
        <f t="shared" si="1"/>
        <v>Scarso</v>
      </c>
    </row>
    <row r="24" spans="1:10" x14ac:dyDescent="0.25">
      <c r="A24" s="20" t="s">
        <v>11</v>
      </c>
      <c r="B24" s="20" t="s">
        <v>3</v>
      </c>
      <c r="C24" s="10">
        <f>'Medie Chatbot'!D7</f>
        <v>52.776666666666664</v>
      </c>
      <c r="D24" s="10">
        <f>'WHOQOL simulato'!D7</f>
        <v>48</v>
      </c>
      <c r="E24" s="31">
        <f t="shared" si="0"/>
        <v>4.7766666666666637</v>
      </c>
      <c r="F24" s="41" t="str">
        <f t="shared" si="1"/>
        <v>Buono</v>
      </c>
    </row>
    <row r="25" spans="1:10" ht="15.75" thickBot="1" x14ac:dyDescent="0.3">
      <c r="A25" s="21" t="s">
        <v>11</v>
      </c>
      <c r="B25" s="21" t="s">
        <v>4</v>
      </c>
      <c r="C25" s="13">
        <f>'Medie Chatbot'!E7</f>
        <v>59.373333333333335</v>
      </c>
      <c r="D25" s="13">
        <f>'WHOQOL simulato'!E7</f>
        <v>52</v>
      </c>
      <c r="E25" s="33">
        <f t="shared" si="0"/>
        <v>7.3733333333333348</v>
      </c>
      <c r="F25" s="42" t="str">
        <f t="shared" si="1"/>
        <v>Accettabile</v>
      </c>
    </row>
    <row r="26" spans="1:10" x14ac:dyDescent="0.25">
      <c r="A26" s="19" t="s">
        <v>12</v>
      </c>
      <c r="B26" s="19" t="s">
        <v>1</v>
      </c>
      <c r="C26" s="7">
        <f>'Medie Chatbot'!B8</f>
        <v>55.949999999999996</v>
      </c>
      <c r="D26" s="7">
        <f>'WHOQOL simulato'!B8</f>
        <v>58</v>
      </c>
      <c r="E26" s="32">
        <f t="shared" si="0"/>
        <v>-2.0500000000000043</v>
      </c>
      <c r="F26" s="40" t="str">
        <f t="shared" si="1"/>
        <v>Buono</v>
      </c>
    </row>
    <row r="27" spans="1:10" ht="15.75" thickBot="1" x14ac:dyDescent="0.3">
      <c r="A27" s="20" t="s">
        <v>12</v>
      </c>
      <c r="B27" s="20" t="s">
        <v>2</v>
      </c>
      <c r="C27" s="10">
        <f>'Medie Chatbot'!C8</f>
        <v>63.890000000000008</v>
      </c>
      <c r="D27" s="10">
        <f>'WHOQOL simulato'!C8</f>
        <v>62</v>
      </c>
      <c r="E27" s="31">
        <f t="shared" si="0"/>
        <v>1.8900000000000077</v>
      </c>
      <c r="F27" s="41" t="str">
        <f t="shared" si="1"/>
        <v>Buono</v>
      </c>
    </row>
    <row r="28" spans="1:10" ht="15.75" thickBot="1" x14ac:dyDescent="0.3">
      <c r="A28" s="20" t="s">
        <v>12</v>
      </c>
      <c r="B28" s="20" t="s">
        <v>3</v>
      </c>
      <c r="C28" s="10">
        <f>'Medie Chatbot'!D8</f>
        <v>55.556666666666672</v>
      </c>
      <c r="D28" s="10">
        <f>'WHOQOL simulato'!D8</f>
        <v>65</v>
      </c>
      <c r="E28" s="31">
        <f t="shared" si="0"/>
        <v>-9.443333333333328</v>
      </c>
      <c r="F28" s="44" t="str">
        <f t="shared" si="1"/>
        <v>Accettabile</v>
      </c>
      <c r="I28" s="46" t="s">
        <v>19</v>
      </c>
      <c r="J28" s="47" t="s">
        <v>20</v>
      </c>
    </row>
    <row r="29" spans="1:10" ht="15.75" thickBot="1" x14ac:dyDescent="0.3">
      <c r="A29" s="21" t="s">
        <v>12</v>
      </c>
      <c r="B29" s="21" t="s">
        <v>4</v>
      </c>
      <c r="C29" s="13">
        <f>'Medie Chatbot'!E8</f>
        <v>60.416666666666664</v>
      </c>
      <c r="D29" s="13">
        <f>'WHOQOL simulato'!E8</f>
        <v>68</v>
      </c>
      <c r="E29" s="33">
        <f t="shared" si="0"/>
        <v>-7.5833333333333357</v>
      </c>
      <c r="F29" s="42" t="str">
        <f t="shared" si="1"/>
        <v>Accettabile</v>
      </c>
      <c r="I29" s="1" t="s">
        <v>21</v>
      </c>
      <c r="J29" s="3" t="s">
        <v>22</v>
      </c>
    </row>
    <row r="30" spans="1:10" x14ac:dyDescent="0.25">
      <c r="A30" s="19" t="s">
        <v>13</v>
      </c>
      <c r="B30" s="19" t="s">
        <v>1</v>
      </c>
      <c r="C30" s="7">
        <f>'Medie Chatbot'!B9</f>
        <v>58.330000000000005</v>
      </c>
      <c r="D30" s="7">
        <f>'WHOQOL simulato'!B9</f>
        <v>56</v>
      </c>
      <c r="E30" s="32">
        <f t="shared" si="0"/>
        <v>2.3300000000000054</v>
      </c>
      <c r="F30" s="40" t="str">
        <f t="shared" si="1"/>
        <v>Buono</v>
      </c>
      <c r="I30" s="1" t="s">
        <v>23</v>
      </c>
      <c r="J30" s="3" t="s">
        <v>24</v>
      </c>
    </row>
    <row r="31" spans="1:10" x14ac:dyDescent="0.25">
      <c r="A31" s="20" t="s">
        <v>13</v>
      </c>
      <c r="B31" s="20" t="s">
        <v>2</v>
      </c>
      <c r="C31" s="10">
        <f>'Medie Chatbot'!C9</f>
        <v>69.443333333333328</v>
      </c>
      <c r="D31" s="10">
        <f>'WHOQOL simulato'!C9</f>
        <v>68</v>
      </c>
      <c r="E31" s="31">
        <f t="shared" si="0"/>
        <v>1.443333333333328</v>
      </c>
      <c r="F31" s="41" t="str">
        <f t="shared" si="1"/>
        <v>Buono</v>
      </c>
      <c r="I31" s="1" t="s">
        <v>25</v>
      </c>
      <c r="J31" s="3" t="s">
        <v>26</v>
      </c>
    </row>
    <row r="32" spans="1:10" x14ac:dyDescent="0.25">
      <c r="A32" s="20" t="s">
        <v>13</v>
      </c>
      <c r="B32" s="20" t="s">
        <v>3</v>
      </c>
      <c r="C32" s="10">
        <f>'Medie Chatbot'!D9</f>
        <v>63.890000000000008</v>
      </c>
      <c r="D32" s="10">
        <f>'WHOQOL simulato'!D9</f>
        <v>72</v>
      </c>
      <c r="E32" s="31">
        <f t="shared" si="0"/>
        <v>-8.1099999999999923</v>
      </c>
      <c r="F32" s="44" t="str">
        <f t="shared" si="1"/>
        <v>Accettabile</v>
      </c>
      <c r="I32" s="1" t="s">
        <v>6</v>
      </c>
      <c r="J32" s="3" t="s">
        <v>27</v>
      </c>
    </row>
    <row r="33" spans="1:10" ht="15.75" thickBot="1" x14ac:dyDescent="0.3">
      <c r="A33" s="21" t="s">
        <v>13</v>
      </c>
      <c r="B33" s="21" t="s">
        <v>4</v>
      </c>
      <c r="C33" s="13">
        <f>'Medie Chatbot'!E9</f>
        <v>56.25333333333333</v>
      </c>
      <c r="D33" s="13">
        <f>'WHOQOL simulato'!E9</f>
        <v>65</v>
      </c>
      <c r="E33" s="33">
        <f t="shared" si="0"/>
        <v>-8.7466666666666697</v>
      </c>
      <c r="F33" s="42" t="str">
        <f t="shared" si="1"/>
        <v>Accettabile</v>
      </c>
      <c r="I33" s="4" t="s">
        <v>28</v>
      </c>
      <c r="J33" s="5" t="s">
        <v>29</v>
      </c>
    </row>
  </sheetData>
  <conditionalFormatting sqref="E2:E100">
    <cfRule type="cellIs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Dati grezzi Chatbot</vt:lpstr>
      <vt:lpstr>Medie Chatbot</vt:lpstr>
      <vt:lpstr>WHOQOL simulato</vt:lpstr>
      <vt:lpstr>Confronto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PATRUNO MIRKO</cp:lastModifiedBy>
  <dcterms:created xsi:type="dcterms:W3CDTF">2026-06-09T15:29:49Z</dcterms:created>
  <dcterms:modified xsi:type="dcterms:W3CDTF">2026-06-09T16:39:09Z</dcterms:modified>
</cp:coreProperties>
</file>